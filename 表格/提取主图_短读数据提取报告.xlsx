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<sst xmlns="http://schemas.openxmlformats.org/spreadsheetml/2006/main" count="149" uniqueCount="41">
  <si>
    <t>组织类型</t>
  </si>
  <si>
    <t>样本名称</t>
  </si>
  <si>
    <t>提取方法</t>
  </si>
  <si>
    <t>投入量
（μL）</t>
  </si>
  <si>
    <t>提取反应数</t>
  </si>
  <si>
    <t>浓度
（ng/μL）</t>
  </si>
  <si>
    <t>体积
（μL）</t>
  </si>
  <si>
    <t>总量(μg)</t>
  </si>
  <si>
    <t>单位产量
（μg/100 μL）</t>
  </si>
  <si>
    <t>A260/A280</t>
  </si>
  <si>
    <t>A260/A230</t>
  </si>
  <si>
    <t>片段长度
（kp）</t>
  </si>
  <si>
    <t>测试分组</t>
  </si>
  <si>
    <t>粪便</t>
  </si>
  <si>
    <t>0919-1</t>
  </si>
  <si>
    <t>磁片法手工-V1.3</t>
  </si>
  <si>
    <t>/</t>
  </si>
  <si>
    <t>2121-1</t>
  </si>
  <si>
    <t>8915-1</t>
  </si>
  <si>
    <t>长读长测序</t>
  </si>
  <si>
    <t>8366-1</t>
  </si>
  <si>
    <t>0927-1</t>
  </si>
  <si>
    <t>0942-1</t>
  </si>
  <si>
    <t>0980-1</t>
  </si>
  <si>
    <t>8373-1</t>
  </si>
  <si>
    <t>8343-1</t>
  </si>
  <si>
    <t>2725-1</t>
  </si>
  <si>
    <t>4141-1</t>
  </si>
  <si>
    <t>2835-1</t>
  </si>
  <si>
    <t>0996-1</t>
  </si>
  <si>
    <t>0934-1</t>
  </si>
  <si>
    <t>4143-1</t>
  </si>
  <si>
    <t>粪便-自闭症</t>
  </si>
  <si>
    <t>9719-1</t>
  </si>
  <si>
    <t>9720-1</t>
  </si>
  <si>
    <t>9721-1</t>
  </si>
  <si>
    <t>9722-1</t>
  </si>
  <si>
    <t>9723-1</t>
  </si>
  <si>
    <t>磁珠法-自动化</t>
  </si>
  <si>
    <t>体积少，未提取</t>
  </si>
  <si>
    <t>toolow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</si>
</sst>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  <numFmt numFmtId="177" formatCode="0.000_ "/>
    <numFmt numFmtId="178" formatCode="0.00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/>
    <xf numFmtId="0" fontId="2" fillId="3" borderId="0" xfId="0" applyFont="1" applyFill="1" applyAlignme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center"/>
    </xf>
    <xf numFmtId="177" fontId="1" fillId="4" borderId="2" xfId="0" applyNumberFormat="1" applyFont="1" applyFill="1" applyBorder="1" applyAlignment="1">
      <alignment horizontal="center"/>
    </xf>
    <xf numFmtId="176" fontId="1" fillId="0" borderId="2" xfId="0" applyNumberFormat="1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/>
    <xf numFmtId="49" fontId="1" fillId="0" borderId="2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177" fontId="2" fillId="3" borderId="2" xfId="0" applyNumberFormat="1" applyFont="1" applyFill="1" applyBorder="1" applyAlignment="1">
      <alignment horizontal="center"/>
    </xf>
    <xf numFmtId="176" fontId="2" fillId="3" borderId="2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/>
    <xf numFmtId="0" fontId="2" fillId="3" borderId="0" xfId="0" applyFont="1" applyFill="1" applyAlignment="1">
      <alignment horizontal="center"/>
    </xf>
    <xf numFmtId="178" fontId="1" fillId="0" borderId="2" xfId="0" applyNumberFormat="1" applyFont="1" applyFill="1" applyBorder="1" applyAlignment="1">
      <alignment horizontal="center"/>
    </xf>
    <xf numFmtId="178" fontId="2" fillId="3" borderId="2" xfId="0" applyNumberFormat="1" applyFont="1" applyFill="1" applyBorder="1" applyAlignment="1">
      <alignment horizontal="center"/>
    </xf>
    <xf numFmtId="49" fontId="4" fillId="0" borderId="2" xfId="0" applyNumberFormat="1" applyFont="1" applyFill="1" applyBorder="1" applyAlignment="1">
      <alignment horizontal="center"/>
    </xf>
    <xf numFmtId="177" fontId="1" fillId="0" borderId="2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1"/>
  <sheetViews>
    <sheetView tabSelected="1" workbookViewId="0">
      <selection activeCell="L11" sqref="L11"/>
    </sheetView>
  </sheetViews>
  <sheetFormatPr defaultColWidth="9" defaultRowHeight="13.5"/>
  <cols>
    <col min="3" max="3" width="18.0916666666667" customWidth="1"/>
    <col min="8" max="8" width="10.6333333333333" customWidth="1"/>
    <col min="9" max="9" width="21.375" customWidth="1"/>
    <col min="10" max="10" width="18.75" customWidth="1"/>
    <col min="11" max="11" width="23.75" customWidth="1"/>
    <col min="13" max="13" width="19.725" customWidth="1"/>
  </cols>
  <sheetData>
    <row r="1" s="1" customFormat="1" ht="45" spans="1:20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4" t="s">
        <v>7</v>
      </c>
      <c r="I1" s="8" t="s">
        <v>8</v>
      </c>
      <c r="J1" s="4" t="s">
        <v>9</v>
      </c>
      <c r="K1" s="4" t="s">
        <v>10</v>
      </c>
      <c r="L1" s="6" t="s">
        <v>11</v>
      </c>
      <c r="M1" s="4" t="s">
        <v>12</v>
      </c>
      <c r="N1" s="9"/>
      <c r="O1" s="9"/>
      <c r="P1" s="9"/>
      <c r="Q1" s="9"/>
      <c r="R1" s="9"/>
      <c r="S1" s="9"/>
      <c r="T1" s="9"/>
    </row>
    <row r="2" s="2" customFormat="1" ht="16.5" spans="1:20">
      <c r="A2" s="10" t="s">
        <v>13</v>
      </c>
      <c r="B2" s="10" t="s">
        <v>14</v>
      </c>
      <c r="C2" s="11" t="s">
        <v>15</v>
      </c>
      <c r="D2" s="10">
        <v>500</v>
      </c>
      <c r="E2" s="10">
        <v>3</v>
      </c>
      <c r="F2" s="12">
        <v>52.2</v>
      </c>
      <c r="G2" s="10">
        <v>300</v>
      </c>
      <c r="H2" s="13">
        <f t="shared" ref="H2:H41" si="0">G2*F2/1000</f>
        <v>15.66</v>
      </c>
      <c r="I2" s="14">
        <f t="shared" ref="I2:I16" si="1">H2/15</f>
        <v>1.044</v>
      </c>
      <c r="J2" s="10">
        <v>2.15</v>
      </c>
      <c r="K2" s="10">
        <v>2.24</v>
      </c>
      <c r="L2" s="15" t="s">
        <v>16</v>
      </c>
      <c r="M2" s="16"/>
      <c r="N2" s="9"/>
      <c r="O2" s="9"/>
      <c r="P2" s="9"/>
      <c r="Q2" s="9"/>
      <c r="R2" s="9"/>
      <c r="S2" s="9"/>
      <c r="T2" s="9"/>
    </row>
    <row r="3" s="2" customFormat="1" ht="16.5" spans="1:20">
      <c r="A3" s="10" t="s">
        <v>13</v>
      </c>
      <c r="B3" s="17" t="s">
        <v>17</v>
      </c>
      <c r="C3" s="11" t="s">
        <v>15</v>
      </c>
      <c r="D3" s="10">
        <v>500</v>
      </c>
      <c r="E3" s="10">
        <v>3</v>
      </c>
      <c r="F3" s="12">
        <v>182</v>
      </c>
      <c r="G3" s="10">
        <v>300</v>
      </c>
      <c r="H3" s="13">
        <f t="shared" si="0"/>
        <v>54.6</v>
      </c>
      <c r="I3" s="14">
        <f t="shared" si="1"/>
        <v>3.64</v>
      </c>
      <c r="J3" s="10">
        <v>2.08</v>
      </c>
      <c r="K3" s="10">
        <v>1.95</v>
      </c>
      <c r="L3" s="15">
        <v>20.161</v>
      </c>
      <c r="M3" s="16"/>
      <c r="N3" s="9"/>
      <c r="O3" s="9"/>
      <c r="P3" s="9"/>
      <c r="Q3" s="9"/>
      <c r="R3" s="9"/>
      <c r="S3" s="9"/>
      <c r="T3" s="9"/>
    </row>
    <row r="4" s="3" customFormat="1" ht="15" spans="1:20">
      <c r="A4" s="18" t="s">
        <v>13</v>
      </c>
      <c r="B4" s="19" t="s">
        <v>18</v>
      </c>
      <c r="C4" s="20" t="s">
        <v>15</v>
      </c>
      <c r="D4" s="18">
        <v>500</v>
      </c>
      <c r="E4" s="18">
        <v>3</v>
      </c>
      <c r="F4" s="21">
        <v>384</v>
      </c>
      <c r="G4" s="18">
        <v>300</v>
      </c>
      <c r="H4" s="22">
        <f t="shared" si="0"/>
        <v>115.2</v>
      </c>
      <c r="I4" s="23">
        <f t="shared" si="1"/>
        <v>7.68</v>
      </c>
      <c r="J4" s="18">
        <v>2.01</v>
      </c>
      <c r="K4" s="18">
        <v>1.99</v>
      </c>
      <c r="L4" s="24">
        <v>15.648</v>
      </c>
      <c r="M4" s="25" t="s">
        <v>19</v>
      </c>
      <c r="N4" s="26"/>
      <c r="O4" s="26"/>
      <c r="P4" s="26"/>
      <c r="Q4" s="26"/>
      <c r="R4" s="26"/>
      <c r="S4" s="26"/>
      <c r="T4" s="26"/>
    </row>
    <row r="5" s="3" customFormat="1" ht="15" spans="1:20">
      <c r="A5" s="18" t="s">
        <v>13</v>
      </c>
      <c r="B5" s="19" t="s">
        <v>20</v>
      </c>
      <c r="C5" s="20" t="s">
        <v>15</v>
      </c>
      <c r="D5" s="18">
        <v>500</v>
      </c>
      <c r="E5" s="18">
        <v>3</v>
      </c>
      <c r="F5" s="21">
        <v>278</v>
      </c>
      <c r="G5" s="18">
        <v>300</v>
      </c>
      <c r="H5" s="22">
        <f t="shared" si="0"/>
        <v>83.4</v>
      </c>
      <c r="I5" s="23">
        <f t="shared" si="1"/>
        <v>5.56</v>
      </c>
      <c r="J5" s="18">
        <v>1.97</v>
      </c>
      <c r="K5" s="18">
        <v>1.71</v>
      </c>
      <c r="L5" s="24">
        <v>22.458</v>
      </c>
      <c r="M5" s="25" t="s">
        <v>19</v>
      </c>
      <c r="N5" s="26"/>
      <c r="O5" s="26"/>
      <c r="P5" s="26"/>
      <c r="Q5" s="26"/>
      <c r="R5" s="26"/>
      <c r="S5" s="26"/>
      <c r="T5" s="26"/>
    </row>
    <row r="6" s="2" customFormat="1" ht="16.5" spans="1:20">
      <c r="A6" s="10" t="s">
        <v>13</v>
      </c>
      <c r="B6" s="10" t="s">
        <v>21</v>
      </c>
      <c r="C6" s="11" t="s">
        <v>15</v>
      </c>
      <c r="D6" s="10">
        <v>500</v>
      </c>
      <c r="E6" s="10">
        <v>3</v>
      </c>
      <c r="F6" s="12">
        <v>97.2</v>
      </c>
      <c r="G6" s="10">
        <v>300</v>
      </c>
      <c r="H6" s="13">
        <f t="shared" si="0"/>
        <v>29.16</v>
      </c>
      <c r="I6" s="14">
        <f t="shared" si="1"/>
        <v>1.944</v>
      </c>
      <c r="J6" s="27">
        <v>2.1</v>
      </c>
      <c r="K6" s="10">
        <v>2.07</v>
      </c>
      <c r="L6" s="15">
        <v>23.337</v>
      </c>
      <c r="M6" s="16"/>
      <c r="N6" s="9"/>
      <c r="O6" s="9"/>
      <c r="P6" s="9"/>
      <c r="Q6" s="9"/>
      <c r="R6" s="9"/>
      <c r="S6" s="9"/>
      <c r="T6" s="9"/>
    </row>
    <row r="7" s="3" customFormat="1" ht="15" spans="1:20">
      <c r="A7" s="18" t="s">
        <v>13</v>
      </c>
      <c r="B7" s="18" t="s">
        <v>22</v>
      </c>
      <c r="C7" s="20" t="s">
        <v>15</v>
      </c>
      <c r="D7" s="18">
        <v>500</v>
      </c>
      <c r="E7" s="18">
        <v>3</v>
      </c>
      <c r="F7" s="21">
        <v>232</v>
      </c>
      <c r="G7" s="18">
        <v>300</v>
      </c>
      <c r="H7" s="22">
        <f t="shared" si="0"/>
        <v>69.6</v>
      </c>
      <c r="I7" s="23">
        <f t="shared" si="1"/>
        <v>4.64</v>
      </c>
      <c r="J7" s="18">
        <v>1.98</v>
      </c>
      <c r="K7" s="28">
        <v>1.9</v>
      </c>
      <c r="L7" s="24">
        <v>20.831</v>
      </c>
      <c r="M7" s="25" t="s">
        <v>19</v>
      </c>
      <c r="N7" s="26"/>
      <c r="O7" s="26"/>
      <c r="P7" s="26"/>
      <c r="Q7" s="26"/>
      <c r="R7" s="26"/>
      <c r="S7" s="26"/>
      <c r="T7" s="26"/>
    </row>
    <row r="8" s="2" customFormat="1" ht="16.5" spans="1:20">
      <c r="A8" s="10" t="s">
        <v>13</v>
      </c>
      <c r="B8" s="10" t="s">
        <v>23</v>
      </c>
      <c r="C8" s="11" t="s">
        <v>15</v>
      </c>
      <c r="D8" s="10">
        <v>500</v>
      </c>
      <c r="E8" s="10">
        <v>3</v>
      </c>
      <c r="F8" s="12">
        <v>155</v>
      </c>
      <c r="G8" s="10">
        <v>300</v>
      </c>
      <c r="H8" s="13">
        <f t="shared" si="0"/>
        <v>46.5</v>
      </c>
      <c r="I8" s="14">
        <f t="shared" si="1"/>
        <v>3.1</v>
      </c>
      <c r="J8" s="10">
        <v>2.09</v>
      </c>
      <c r="K8" s="10">
        <v>2.09</v>
      </c>
      <c r="L8" s="15">
        <v>2.089</v>
      </c>
      <c r="M8" s="16"/>
      <c r="N8" s="9"/>
      <c r="O8" s="9"/>
      <c r="P8" s="9"/>
      <c r="Q8" s="9"/>
      <c r="R8" s="9"/>
      <c r="S8" s="9"/>
      <c r="T8" s="9"/>
    </row>
    <row r="9" s="3" customFormat="1" ht="15" spans="1:20">
      <c r="A9" s="18" t="s">
        <v>13</v>
      </c>
      <c r="B9" s="19" t="s">
        <v>24</v>
      </c>
      <c r="C9" s="20" t="s">
        <v>15</v>
      </c>
      <c r="D9" s="18">
        <v>500</v>
      </c>
      <c r="E9" s="18">
        <v>3</v>
      </c>
      <c r="F9" s="21">
        <v>334</v>
      </c>
      <c r="G9" s="18">
        <v>300</v>
      </c>
      <c r="H9" s="22">
        <f t="shared" si="0"/>
        <v>100.2</v>
      </c>
      <c r="I9" s="23">
        <f t="shared" si="1"/>
        <v>6.68</v>
      </c>
      <c r="J9" s="18">
        <v>2.08</v>
      </c>
      <c r="K9" s="18">
        <v>1.94</v>
      </c>
      <c r="L9" s="24">
        <v>19.277</v>
      </c>
      <c r="M9" s="25" t="s">
        <v>19</v>
      </c>
      <c r="N9" s="26"/>
      <c r="O9" s="26"/>
      <c r="P9" s="26"/>
      <c r="Q9" s="26"/>
      <c r="R9" s="26"/>
      <c r="S9" s="26"/>
      <c r="T9" s="26"/>
    </row>
    <row r="10" s="2" customFormat="1" ht="16.5" spans="1:20">
      <c r="A10" s="10" t="s">
        <v>13</v>
      </c>
      <c r="B10" s="17" t="s">
        <v>25</v>
      </c>
      <c r="C10" s="11" t="s">
        <v>15</v>
      </c>
      <c r="D10" s="10">
        <v>500</v>
      </c>
      <c r="E10" s="10">
        <v>3</v>
      </c>
      <c r="F10" s="12">
        <v>134</v>
      </c>
      <c r="G10" s="10">
        <v>300</v>
      </c>
      <c r="H10" s="13">
        <f t="shared" si="0"/>
        <v>40.2</v>
      </c>
      <c r="I10" s="14">
        <f t="shared" si="1"/>
        <v>2.68</v>
      </c>
      <c r="J10" s="10">
        <v>2.08</v>
      </c>
      <c r="K10" s="10">
        <v>2.09</v>
      </c>
      <c r="L10" s="15">
        <v>11.675</v>
      </c>
      <c r="M10" s="16"/>
      <c r="N10" s="9"/>
      <c r="O10" s="9"/>
      <c r="P10" s="9"/>
      <c r="Q10" s="9"/>
      <c r="R10" s="9"/>
      <c r="S10" s="9"/>
      <c r="T10" s="9"/>
    </row>
    <row r="11" s="2" customFormat="1" ht="16.5" spans="1:20">
      <c r="A11" s="10" t="s">
        <v>13</v>
      </c>
      <c r="B11" s="17" t="s">
        <v>26</v>
      </c>
      <c r="C11" s="11" t="s">
        <v>15</v>
      </c>
      <c r="D11" s="10">
        <v>500</v>
      </c>
      <c r="E11" s="10">
        <v>3</v>
      </c>
      <c r="F11" s="12">
        <v>372</v>
      </c>
      <c r="G11" s="10">
        <v>300</v>
      </c>
      <c r="H11" s="13">
        <f t="shared" si="0"/>
        <v>111.6</v>
      </c>
      <c r="I11" s="14">
        <f t="shared" si="1"/>
        <v>7.44</v>
      </c>
      <c r="J11" s="10">
        <v>1.92</v>
      </c>
      <c r="K11" s="10">
        <v>1.63</v>
      </c>
      <c r="L11" s="15">
        <v>14.283</v>
      </c>
      <c r="M11" s="16"/>
      <c r="N11" s="9"/>
      <c r="O11" s="9"/>
      <c r="P11" s="9"/>
      <c r="Q11" s="9"/>
      <c r="R11" s="9"/>
      <c r="S11" s="9"/>
      <c r="T11" s="9"/>
    </row>
    <row r="12" s="2" customFormat="1" ht="16.5" spans="1:20">
      <c r="A12" s="10" t="s">
        <v>13</v>
      </c>
      <c r="B12" s="17" t="s">
        <v>27</v>
      </c>
      <c r="C12" s="11" t="s">
        <v>15</v>
      </c>
      <c r="D12" s="10">
        <v>500</v>
      </c>
      <c r="E12" s="10">
        <v>3</v>
      </c>
      <c r="F12" s="12">
        <v>114</v>
      </c>
      <c r="G12" s="10">
        <v>300</v>
      </c>
      <c r="H12" s="13">
        <f t="shared" si="0"/>
        <v>34.2</v>
      </c>
      <c r="I12" s="14">
        <f t="shared" si="1"/>
        <v>2.28</v>
      </c>
      <c r="J12" s="10">
        <v>2.08</v>
      </c>
      <c r="K12" s="10">
        <v>2.09</v>
      </c>
      <c r="L12" s="15">
        <v>24.484</v>
      </c>
      <c r="M12" s="16"/>
      <c r="N12" s="9"/>
      <c r="O12" s="9"/>
      <c r="P12" s="9"/>
      <c r="Q12" s="9"/>
      <c r="R12" s="9"/>
      <c r="S12" s="9"/>
      <c r="T12" s="9"/>
    </row>
    <row r="13" s="2" customFormat="1" ht="16.5" spans="1:20">
      <c r="A13" s="10" t="s">
        <v>13</v>
      </c>
      <c r="B13" s="17" t="s">
        <v>28</v>
      </c>
      <c r="C13" s="11" t="s">
        <v>15</v>
      </c>
      <c r="D13" s="10">
        <v>500</v>
      </c>
      <c r="E13" s="10">
        <v>3</v>
      </c>
      <c r="F13" s="12">
        <v>202</v>
      </c>
      <c r="G13" s="10">
        <v>300</v>
      </c>
      <c r="H13" s="13">
        <f t="shared" si="0"/>
        <v>60.6</v>
      </c>
      <c r="I13" s="14">
        <f t="shared" si="1"/>
        <v>4.04</v>
      </c>
      <c r="J13" s="10">
        <v>2.02</v>
      </c>
      <c r="K13" s="10">
        <v>1.96</v>
      </c>
      <c r="L13" s="15">
        <v>11.656</v>
      </c>
      <c r="M13" s="16"/>
      <c r="N13" s="9"/>
      <c r="O13" s="9"/>
      <c r="P13" s="9"/>
      <c r="Q13" s="9"/>
      <c r="R13" s="9"/>
      <c r="S13" s="9"/>
      <c r="T13" s="9"/>
    </row>
    <row r="14" s="2" customFormat="1" ht="16.5" spans="1:20">
      <c r="A14" s="10" t="s">
        <v>13</v>
      </c>
      <c r="B14" s="10" t="s">
        <v>29</v>
      </c>
      <c r="C14" s="11" t="s">
        <v>15</v>
      </c>
      <c r="D14" s="10">
        <v>500</v>
      </c>
      <c r="E14" s="10">
        <v>3</v>
      </c>
      <c r="F14" s="12">
        <v>310</v>
      </c>
      <c r="G14" s="10">
        <v>300</v>
      </c>
      <c r="H14" s="13">
        <f t="shared" si="0"/>
        <v>93</v>
      </c>
      <c r="I14" s="14">
        <f t="shared" si="1"/>
        <v>6.2</v>
      </c>
      <c r="J14" s="10">
        <v>2.07</v>
      </c>
      <c r="K14" s="10">
        <v>2.06</v>
      </c>
      <c r="L14" s="15">
        <v>30.957</v>
      </c>
      <c r="M14" s="16"/>
      <c r="N14" s="9"/>
      <c r="O14" s="9"/>
      <c r="P14" s="9"/>
      <c r="Q14" s="9"/>
      <c r="R14" s="9"/>
      <c r="S14" s="9"/>
      <c r="T14" s="9"/>
    </row>
    <row r="15" s="2" customFormat="1" ht="16.5" spans="1:20">
      <c r="A15" s="10" t="s">
        <v>13</v>
      </c>
      <c r="B15" s="10" t="s">
        <v>30</v>
      </c>
      <c r="C15" s="11" t="s">
        <v>15</v>
      </c>
      <c r="D15" s="10">
        <v>500</v>
      </c>
      <c r="E15" s="10">
        <v>3</v>
      </c>
      <c r="F15" s="12">
        <v>250</v>
      </c>
      <c r="G15" s="10">
        <v>300</v>
      </c>
      <c r="H15" s="13">
        <f t="shared" si="0"/>
        <v>75</v>
      </c>
      <c r="I15" s="14">
        <f t="shared" si="1"/>
        <v>5</v>
      </c>
      <c r="J15" s="10">
        <v>1.99</v>
      </c>
      <c r="K15" s="10">
        <v>1.74</v>
      </c>
      <c r="L15" s="15">
        <v>15.884</v>
      </c>
      <c r="M15" s="16"/>
      <c r="N15" s="9"/>
      <c r="O15" s="9"/>
      <c r="P15" s="9"/>
      <c r="Q15" s="9"/>
      <c r="R15" s="9"/>
      <c r="S15" s="9"/>
      <c r="T15" s="9"/>
    </row>
    <row r="16" s="3" customFormat="1" ht="15" spans="1:20">
      <c r="A16" s="18" t="s">
        <v>13</v>
      </c>
      <c r="B16" s="19" t="s">
        <v>31</v>
      </c>
      <c r="C16" s="20" t="s">
        <v>15</v>
      </c>
      <c r="D16" s="18">
        <v>500</v>
      </c>
      <c r="E16" s="18">
        <v>3</v>
      </c>
      <c r="F16" s="21">
        <v>318</v>
      </c>
      <c r="G16" s="18">
        <v>300</v>
      </c>
      <c r="H16" s="22">
        <f t="shared" si="0"/>
        <v>95.4</v>
      </c>
      <c r="I16" s="23">
        <f t="shared" si="1"/>
        <v>6.36</v>
      </c>
      <c r="J16" s="18">
        <v>1.74</v>
      </c>
      <c r="K16" s="18">
        <v>1.15</v>
      </c>
      <c r="L16" s="24">
        <v>15.125</v>
      </c>
      <c r="M16" s="25" t="s">
        <v>19</v>
      </c>
      <c r="N16" s="26"/>
      <c r="O16" s="26"/>
      <c r="P16" s="26"/>
      <c r="Q16" s="26"/>
      <c r="R16" s="26"/>
      <c r="S16" s="26"/>
      <c r="T16" s="26"/>
    </row>
    <row r="17" s="2" customFormat="1" ht="16.5" spans="1:20">
      <c r="A17" s="10" t="s">
        <v>32</v>
      </c>
      <c r="B17" s="17" t="s">
        <v>33</v>
      </c>
      <c r="C17" s="11" t="s">
        <v>15</v>
      </c>
      <c r="D17" s="10">
        <v>500</v>
      </c>
      <c r="E17" s="10">
        <v>1</v>
      </c>
      <c r="F17" s="12">
        <v>38.4</v>
      </c>
      <c r="G17" s="10">
        <v>100</v>
      </c>
      <c r="H17" s="13">
        <f t="shared" si="0"/>
        <v>3.84</v>
      </c>
      <c r="I17" s="14">
        <f t="shared" ref="I17:I41" si="2">H17/5</f>
        <v>0.768</v>
      </c>
      <c r="J17" s="10">
        <v>2.01</v>
      </c>
      <c r="K17" s="10">
        <v>1.78</v>
      </c>
      <c r="L17" s="15">
        <v>10.737</v>
      </c>
      <c r="M17" s="16"/>
      <c r="N17" s="9"/>
      <c r="O17" s="9"/>
      <c r="P17" s="9"/>
      <c r="Q17" s="9"/>
      <c r="R17" s="9"/>
      <c r="S17" s="9"/>
      <c r="T17" s="9"/>
    </row>
    <row r="18" s="2" customFormat="1" ht="16.5" spans="1:20">
      <c r="A18" s="10" t="s">
        <v>32</v>
      </c>
      <c r="B18" s="17" t="s">
        <v>34</v>
      </c>
      <c r="C18" s="11" t="s">
        <v>15</v>
      </c>
      <c r="D18" s="10">
        <v>500</v>
      </c>
      <c r="E18" s="10">
        <v>1</v>
      </c>
      <c r="F18" s="12">
        <v>18.5</v>
      </c>
      <c r="G18" s="10">
        <v>100</v>
      </c>
      <c r="H18" s="13">
        <f t="shared" si="0"/>
        <v>1.85</v>
      </c>
      <c r="I18" s="14">
        <f t="shared" si="2"/>
        <v>0.37</v>
      </c>
      <c r="J18" s="9">
        <v>2.07</v>
      </c>
      <c r="K18" s="9">
        <v>1.85</v>
      </c>
      <c r="L18" s="15">
        <v>22.496</v>
      </c>
      <c r="M18" s="16"/>
      <c r="N18" s="9"/>
      <c r="O18" s="9"/>
      <c r="P18" s="9"/>
      <c r="Q18" s="9"/>
      <c r="R18" s="9"/>
      <c r="S18" s="9"/>
      <c r="T18" s="9"/>
    </row>
    <row r="19" s="2" customFormat="1" ht="16.5" spans="1:20">
      <c r="A19" s="10" t="s">
        <v>32</v>
      </c>
      <c r="B19" s="17" t="s">
        <v>35</v>
      </c>
      <c r="C19" s="11" t="s">
        <v>15</v>
      </c>
      <c r="D19" s="10">
        <v>500</v>
      </c>
      <c r="E19" s="10">
        <v>1</v>
      </c>
      <c r="F19" s="12">
        <v>2.88</v>
      </c>
      <c r="G19" s="10">
        <v>100</v>
      </c>
      <c r="H19" s="13">
        <f t="shared" si="0"/>
        <v>0.288</v>
      </c>
      <c r="I19" s="14">
        <f t="shared" si="2"/>
        <v>0.0576</v>
      </c>
      <c r="J19" s="10">
        <v>1.84</v>
      </c>
      <c r="K19" s="10">
        <v>1.05</v>
      </c>
      <c r="L19" s="15" t="s">
        <v>16</v>
      </c>
      <c r="M19" s="16"/>
      <c r="N19" s="9"/>
      <c r="O19" s="9"/>
      <c r="P19" s="9"/>
      <c r="Q19" s="9"/>
      <c r="R19" s="9"/>
      <c r="S19" s="9"/>
      <c r="T19" s="9"/>
    </row>
    <row r="20" s="2" customFormat="1" ht="16.5" spans="1:20">
      <c r="A20" s="10" t="s">
        <v>32</v>
      </c>
      <c r="B20" s="17" t="s">
        <v>36</v>
      </c>
      <c r="C20" s="11" t="s">
        <v>15</v>
      </c>
      <c r="D20" s="10">
        <v>500</v>
      </c>
      <c r="E20" s="10">
        <v>1</v>
      </c>
      <c r="F20" s="12">
        <v>119</v>
      </c>
      <c r="G20" s="10">
        <v>100</v>
      </c>
      <c r="H20" s="13">
        <f t="shared" si="0"/>
        <v>11.9</v>
      </c>
      <c r="I20" s="14">
        <f t="shared" si="2"/>
        <v>2.38</v>
      </c>
      <c r="J20" s="10">
        <v>1.68</v>
      </c>
      <c r="K20" s="10">
        <v>0.97</v>
      </c>
      <c r="L20" s="15">
        <v>1.899</v>
      </c>
      <c r="M20" s="16"/>
      <c r="N20" s="9"/>
      <c r="O20" s="9"/>
      <c r="P20" s="9"/>
      <c r="Q20" s="9"/>
      <c r="R20" s="9"/>
      <c r="S20" s="9"/>
      <c r="T20" s="9"/>
    </row>
    <row r="21" s="2" customFormat="1" ht="16.5" spans="1:20">
      <c r="A21" s="10" t="s">
        <v>32</v>
      </c>
      <c r="B21" s="17" t="s">
        <v>37</v>
      </c>
      <c r="C21" s="11" t="s">
        <v>15</v>
      </c>
      <c r="D21" s="10">
        <v>500</v>
      </c>
      <c r="E21" s="10">
        <v>1</v>
      </c>
      <c r="F21" s="12">
        <v>210</v>
      </c>
      <c r="G21" s="10">
        <v>100</v>
      </c>
      <c r="H21" s="13">
        <f t="shared" si="0"/>
        <v>21</v>
      </c>
      <c r="I21" s="14">
        <f t="shared" si="2"/>
        <v>4.2</v>
      </c>
      <c r="J21" s="10">
        <v>2.02</v>
      </c>
      <c r="K21" s="27">
        <v>1.9</v>
      </c>
      <c r="L21" s="15">
        <v>16.071</v>
      </c>
      <c r="M21" s="16"/>
      <c r="N21" s="9"/>
      <c r="O21" s="9"/>
      <c r="P21" s="9"/>
      <c r="Q21" s="9"/>
      <c r="R21" s="9"/>
      <c r="S21" s="9"/>
      <c r="T21" s="9"/>
    </row>
    <row r="22" s="2" customFormat="1" ht="16.5" spans="1:20">
      <c r="A22" s="10" t="s">
        <v>13</v>
      </c>
      <c r="B22" s="12" t="s">
        <v>14</v>
      </c>
      <c r="C22" s="11" t="s">
        <v>38</v>
      </c>
      <c r="D22" s="10">
        <v>300</v>
      </c>
      <c r="E22" s="10">
        <v>1</v>
      </c>
      <c r="F22" s="12">
        <v>46.4</v>
      </c>
      <c r="G22" s="10">
        <v>100</v>
      </c>
      <c r="H22" s="13">
        <f t="shared" si="0"/>
        <v>4.64</v>
      </c>
      <c r="I22" s="14">
        <f t="shared" si="2"/>
        <v>0.928</v>
      </c>
      <c r="J22" s="27">
        <v>2.1</v>
      </c>
      <c r="K22" s="10">
        <v>2.26</v>
      </c>
      <c r="L22" s="15">
        <v>12.374</v>
      </c>
      <c r="M22" s="16"/>
      <c r="N22" s="9"/>
      <c r="O22" s="9"/>
      <c r="P22" s="9"/>
      <c r="Q22" s="9"/>
      <c r="R22" s="9"/>
      <c r="S22" s="9"/>
      <c r="T22" s="9"/>
    </row>
    <row r="23" s="2" customFormat="1" ht="16.5" spans="1:20">
      <c r="A23" s="10" t="s">
        <v>13</v>
      </c>
      <c r="B23" s="29" t="s">
        <v>17</v>
      </c>
      <c r="C23" s="11" t="s">
        <v>38</v>
      </c>
      <c r="D23" s="10">
        <v>300</v>
      </c>
      <c r="E23" s="10">
        <v>1</v>
      </c>
      <c r="F23" s="12">
        <v>134</v>
      </c>
      <c r="G23" s="10">
        <v>100</v>
      </c>
      <c r="H23" s="13">
        <f t="shared" si="0"/>
        <v>13.4</v>
      </c>
      <c r="I23" s="14">
        <f t="shared" si="2"/>
        <v>2.68</v>
      </c>
      <c r="J23" s="10">
        <v>2.07</v>
      </c>
      <c r="K23" s="10">
        <v>2.28</v>
      </c>
      <c r="L23" s="15">
        <v>9.423</v>
      </c>
      <c r="M23" s="16"/>
      <c r="N23" s="9"/>
      <c r="O23" s="9"/>
      <c r="P23" s="9"/>
      <c r="Q23" s="9"/>
      <c r="R23" s="9"/>
      <c r="S23" s="9"/>
      <c r="T23" s="9"/>
    </row>
    <row r="24" s="2" customFormat="1" ht="16.5" spans="1:20">
      <c r="A24" s="10" t="s">
        <v>13</v>
      </c>
      <c r="B24" s="29" t="s">
        <v>18</v>
      </c>
      <c r="C24" s="11" t="s">
        <v>38</v>
      </c>
      <c r="D24" s="10">
        <v>300</v>
      </c>
      <c r="E24" s="10">
        <v>1</v>
      </c>
      <c r="F24" s="12">
        <v>308</v>
      </c>
      <c r="G24" s="10">
        <v>100</v>
      </c>
      <c r="H24" s="13">
        <f t="shared" si="0"/>
        <v>30.8</v>
      </c>
      <c r="I24" s="14">
        <f t="shared" si="2"/>
        <v>6.16</v>
      </c>
      <c r="J24" s="10">
        <v>2.03</v>
      </c>
      <c r="K24" s="10">
        <v>2.12</v>
      </c>
      <c r="L24" s="15">
        <v>9.178</v>
      </c>
      <c r="M24" s="16"/>
      <c r="N24" s="9"/>
      <c r="O24" s="9"/>
      <c r="P24" s="9"/>
      <c r="Q24" s="9"/>
      <c r="R24" s="9"/>
      <c r="S24" s="9"/>
      <c r="T24" s="9"/>
    </row>
    <row r="25" s="2" customFormat="1" ht="16.5" spans="1:20">
      <c r="A25" s="10" t="s">
        <v>13</v>
      </c>
      <c r="B25" s="29" t="s">
        <v>20</v>
      </c>
      <c r="C25" s="11" t="s">
        <v>38</v>
      </c>
      <c r="D25" s="10">
        <v>300</v>
      </c>
      <c r="E25" s="10">
        <v>1</v>
      </c>
      <c r="F25" s="12">
        <v>183</v>
      </c>
      <c r="G25" s="10">
        <v>100</v>
      </c>
      <c r="H25" s="13">
        <f t="shared" si="0"/>
        <v>18.3</v>
      </c>
      <c r="I25" s="14">
        <f t="shared" si="2"/>
        <v>3.66</v>
      </c>
      <c r="J25" s="10">
        <v>2.06</v>
      </c>
      <c r="K25" s="10">
        <v>2.22</v>
      </c>
      <c r="L25" s="15">
        <v>7.033</v>
      </c>
      <c r="M25" s="16"/>
      <c r="N25" s="9"/>
      <c r="O25" s="9"/>
      <c r="P25" s="9"/>
      <c r="Q25" s="9"/>
      <c r="R25" s="9"/>
      <c r="S25" s="9"/>
      <c r="T25" s="9"/>
    </row>
    <row r="26" s="2" customFormat="1" ht="16.5" spans="1:20">
      <c r="A26" s="10" t="s">
        <v>13</v>
      </c>
      <c r="B26" s="12" t="s">
        <v>21</v>
      </c>
      <c r="C26" s="11" t="s">
        <v>38</v>
      </c>
      <c r="D26" s="10">
        <v>300</v>
      </c>
      <c r="E26" s="10">
        <v>1</v>
      </c>
      <c r="F26" s="12">
        <v>29.8</v>
      </c>
      <c r="G26" s="10">
        <v>100</v>
      </c>
      <c r="H26" s="13">
        <f t="shared" si="0"/>
        <v>2.98</v>
      </c>
      <c r="I26" s="14">
        <f t="shared" si="2"/>
        <v>0.596</v>
      </c>
      <c r="J26" s="10">
        <v>2.15</v>
      </c>
      <c r="K26" s="10">
        <v>2.18</v>
      </c>
      <c r="L26" s="30">
        <v>9.31</v>
      </c>
      <c r="M26" s="16"/>
      <c r="N26" s="9"/>
      <c r="O26" s="9"/>
      <c r="P26" s="9"/>
      <c r="Q26" s="9"/>
      <c r="R26" s="9"/>
      <c r="S26" s="9"/>
      <c r="T26" s="9"/>
    </row>
    <row r="27" s="2" customFormat="1" ht="16.5" spans="1:20">
      <c r="A27" s="10" t="s">
        <v>13</v>
      </c>
      <c r="B27" s="12" t="s">
        <v>22</v>
      </c>
      <c r="C27" s="11" t="s">
        <v>38</v>
      </c>
      <c r="D27" s="10">
        <v>300</v>
      </c>
      <c r="E27" s="10">
        <v>1</v>
      </c>
      <c r="F27" s="12">
        <v>104</v>
      </c>
      <c r="G27" s="10">
        <v>100</v>
      </c>
      <c r="H27" s="13">
        <f t="shared" si="0"/>
        <v>10.4</v>
      </c>
      <c r="I27" s="14">
        <f t="shared" si="2"/>
        <v>2.08</v>
      </c>
      <c r="J27" s="10">
        <v>2.07</v>
      </c>
      <c r="K27" s="10">
        <v>2.13</v>
      </c>
      <c r="L27" s="15">
        <v>12.976</v>
      </c>
      <c r="M27" s="16"/>
      <c r="N27" s="9"/>
      <c r="O27" s="9"/>
      <c r="P27" s="9"/>
      <c r="Q27" s="9"/>
      <c r="R27" s="9"/>
      <c r="S27" s="9"/>
      <c r="T27" s="9"/>
    </row>
    <row r="28" s="2" customFormat="1" ht="16.5" spans="1:20">
      <c r="A28" s="10" t="s">
        <v>13</v>
      </c>
      <c r="B28" s="12" t="s">
        <v>23</v>
      </c>
      <c r="C28" s="11" t="s">
        <v>38</v>
      </c>
      <c r="D28" s="10">
        <v>300</v>
      </c>
      <c r="E28" s="10">
        <v>1</v>
      </c>
      <c r="F28" s="12">
        <v>79</v>
      </c>
      <c r="G28" s="10">
        <v>100</v>
      </c>
      <c r="H28" s="13">
        <f t="shared" si="0"/>
        <v>7.9</v>
      </c>
      <c r="I28" s="14">
        <f t="shared" si="2"/>
        <v>1.58</v>
      </c>
      <c r="J28" s="10">
        <v>2.13</v>
      </c>
      <c r="K28" s="10">
        <v>2.29</v>
      </c>
      <c r="L28" s="30">
        <v>2.48</v>
      </c>
      <c r="M28" s="16"/>
      <c r="N28" s="9"/>
      <c r="O28" s="9"/>
      <c r="P28" s="9"/>
      <c r="Q28" s="9"/>
      <c r="R28" s="9"/>
      <c r="S28" s="9"/>
      <c r="T28" s="9"/>
    </row>
    <row r="29" s="2" customFormat="1" ht="16.5" spans="1:20">
      <c r="A29" s="10" t="s">
        <v>13</v>
      </c>
      <c r="B29" s="29" t="s">
        <v>24</v>
      </c>
      <c r="C29" s="11" t="s">
        <v>38</v>
      </c>
      <c r="D29" s="10">
        <v>300</v>
      </c>
      <c r="E29" s="10">
        <v>1</v>
      </c>
      <c r="F29" s="12">
        <v>147</v>
      </c>
      <c r="G29" s="10">
        <v>100</v>
      </c>
      <c r="H29" s="13">
        <f t="shared" si="0"/>
        <v>14.7</v>
      </c>
      <c r="I29" s="14">
        <f t="shared" si="2"/>
        <v>2.94</v>
      </c>
      <c r="J29" s="10">
        <v>2.01</v>
      </c>
      <c r="K29" s="10">
        <v>1.68</v>
      </c>
      <c r="L29" s="15">
        <v>8.466</v>
      </c>
      <c r="M29" s="16"/>
      <c r="N29" s="9"/>
      <c r="O29" s="9"/>
      <c r="P29" s="9"/>
      <c r="Q29" s="9"/>
      <c r="R29" s="9"/>
      <c r="S29" s="9"/>
      <c r="T29" s="9"/>
    </row>
    <row r="30" s="2" customFormat="1" ht="16.5" spans="1:20">
      <c r="A30" s="10" t="s">
        <v>13</v>
      </c>
      <c r="B30" s="17" t="s">
        <v>25</v>
      </c>
      <c r="C30" s="11" t="s">
        <v>38</v>
      </c>
      <c r="D30" s="10">
        <v>300</v>
      </c>
      <c r="E30" s="10">
        <v>1</v>
      </c>
      <c r="F30" s="12">
        <v>35.4</v>
      </c>
      <c r="G30" s="10">
        <v>100</v>
      </c>
      <c r="H30" s="13">
        <f t="shared" si="0"/>
        <v>3.54</v>
      </c>
      <c r="I30" s="14">
        <f t="shared" si="2"/>
        <v>0.708</v>
      </c>
      <c r="J30" s="10">
        <v>2.12</v>
      </c>
      <c r="K30" s="10">
        <v>2.25</v>
      </c>
      <c r="L30" s="15">
        <v>8.577</v>
      </c>
      <c r="M30" s="16"/>
      <c r="N30" s="9"/>
      <c r="O30" s="9"/>
      <c r="P30" s="9"/>
      <c r="Q30" s="9"/>
      <c r="R30" s="9"/>
      <c r="S30" s="9"/>
      <c r="T30" s="9"/>
    </row>
    <row r="31" s="2" customFormat="1" ht="16.5" spans="1:20">
      <c r="A31" s="10" t="s">
        <v>13</v>
      </c>
      <c r="B31" s="17" t="s">
        <v>26</v>
      </c>
      <c r="C31" s="11" t="s">
        <v>38</v>
      </c>
      <c r="D31" s="10">
        <v>300</v>
      </c>
      <c r="E31" s="10">
        <v>1</v>
      </c>
      <c r="F31" s="12">
        <v>216</v>
      </c>
      <c r="G31" s="10">
        <v>100</v>
      </c>
      <c r="H31" s="13">
        <f t="shared" si="0"/>
        <v>21.6</v>
      </c>
      <c r="I31" s="14">
        <f t="shared" si="2"/>
        <v>4.32</v>
      </c>
      <c r="J31" s="10">
        <v>2.06</v>
      </c>
      <c r="K31" s="27">
        <v>2.1</v>
      </c>
      <c r="L31" s="15">
        <v>7.495</v>
      </c>
      <c r="M31" s="16"/>
      <c r="N31" s="9"/>
      <c r="O31" s="9"/>
      <c r="P31" s="9"/>
      <c r="Q31" s="9"/>
      <c r="R31" s="9"/>
      <c r="S31" s="9"/>
      <c r="T31" s="9"/>
    </row>
    <row r="32" s="2" customFormat="1" ht="16.5" spans="1:20">
      <c r="A32" s="10" t="s">
        <v>13</v>
      </c>
      <c r="B32" s="17" t="s">
        <v>27</v>
      </c>
      <c r="C32" s="11" t="s">
        <v>38</v>
      </c>
      <c r="D32" s="10">
        <v>300</v>
      </c>
      <c r="E32" s="10">
        <v>1</v>
      </c>
      <c r="F32" s="12">
        <v>36.2</v>
      </c>
      <c r="G32" s="10">
        <v>100</v>
      </c>
      <c r="H32" s="13">
        <f t="shared" si="0"/>
        <v>3.62</v>
      </c>
      <c r="I32" s="14">
        <f t="shared" si="2"/>
        <v>0.724</v>
      </c>
      <c r="J32" s="10">
        <v>2.13</v>
      </c>
      <c r="K32" s="10">
        <v>2.18</v>
      </c>
      <c r="L32" s="15">
        <v>13.173</v>
      </c>
      <c r="M32" s="16"/>
      <c r="N32" s="9"/>
      <c r="O32" s="9"/>
      <c r="P32" s="9"/>
      <c r="Q32" s="9"/>
      <c r="R32" s="9"/>
      <c r="S32" s="9"/>
      <c r="T32" s="9"/>
    </row>
    <row r="33" s="2" customFormat="1" ht="16.5" spans="1:20">
      <c r="A33" s="10" t="s">
        <v>13</v>
      </c>
      <c r="B33" s="17" t="s">
        <v>28</v>
      </c>
      <c r="C33" s="11" t="s">
        <v>38</v>
      </c>
      <c r="D33" s="10">
        <v>300</v>
      </c>
      <c r="E33" s="10">
        <v>1</v>
      </c>
      <c r="F33" s="12">
        <v>109</v>
      </c>
      <c r="G33" s="10">
        <v>100</v>
      </c>
      <c r="H33" s="13">
        <f t="shared" si="0"/>
        <v>10.9</v>
      </c>
      <c r="I33" s="14">
        <f t="shared" si="2"/>
        <v>2.18</v>
      </c>
      <c r="J33" s="10">
        <v>2.06</v>
      </c>
      <c r="K33" s="27">
        <v>2.1</v>
      </c>
      <c r="L33" s="15">
        <v>9.73</v>
      </c>
      <c r="M33" s="16"/>
      <c r="N33" s="9"/>
      <c r="O33" s="9"/>
      <c r="P33" s="9"/>
      <c r="Q33" s="9"/>
      <c r="R33" s="9"/>
      <c r="S33" s="9"/>
      <c r="T33" s="9"/>
    </row>
    <row r="34" s="2" customFormat="1" ht="16.5" spans="1:20">
      <c r="A34" s="10" t="s">
        <v>13</v>
      </c>
      <c r="B34" s="10" t="s">
        <v>29</v>
      </c>
      <c r="C34" s="11" t="s">
        <v>38</v>
      </c>
      <c r="D34" s="10">
        <v>300</v>
      </c>
      <c r="E34" s="10">
        <v>1</v>
      </c>
      <c r="F34" s="12">
        <v>169</v>
      </c>
      <c r="G34" s="10">
        <v>100</v>
      </c>
      <c r="H34" s="13">
        <f t="shared" si="0"/>
        <v>16.9</v>
      </c>
      <c r="I34" s="14">
        <f t="shared" si="2"/>
        <v>3.38</v>
      </c>
      <c r="J34" s="10">
        <v>2.08</v>
      </c>
      <c r="K34" s="10">
        <v>2.19</v>
      </c>
      <c r="L34" s="15">
        <v>2.763</v>
      </c>
      <c r="M34" s="16"/>
      <c r="N34" s="9"/>
      <c r="O34" s="9"/>
      <c r="P34" s="9"/>
      <c r="Q34" s="9"/>
      <c r="R34" s="9"/>
      <c r="S34" s="9"/>
      <c r="T34" s="9"/>
    </row>
    <row r="35" s="2" customFormat="1" ht="16.5" spans="1:20">
      <c r="A35" s="10" t="s">
        <v>13</v>
      </c>
      <c r="B35" s="10" t="s">
        <v>30</v>
      </c>
      <c r="C35" s="11" t="s">
        <v>38</v>
      </c>
      <c r="D35" s="10">
        <v>300</v>
      </c>
      <c r="E35" s="10">
        <v>1</v>
      </c>
      <c r="F35" s="12">
        <v>117</v>
      </c>
      <c r="G35" s="10">
        <v>100</v>
      </c>
      <c r="H35" s="13">
        <f t="shared" si="0"/>
        <v>11.7</v>
      </c>
      <c r="I35" s="14">
        <f t="shared" si="2"/>
        <v>2.34</v>
      </c>
      <c r="J35" s="10">
        <v>2.09</v>
      </c>
      <c r="K35" s="10">
        <v>2.25</v>
      </c>
      <c r="L35" s="15">
        <v>7.755</v>
      </c>
      <c r="M35" s="16"/>
      <c r="N35" s="9"/>
      <c r="O35" s="9"/>
      <c r="P35" s="9"/>
      <c r="Q35" s="9"/>
      <c r="R35" s="9"/>
      <c r="S35" s="9"/>
      <c r="T35" s="9"/>
    </row>
    <row r="36" s="2" customFormat="1" ht="16.5" spans="1:20">
      <c r="A36" s="10" t="s">
        <v>13</v>
      </c>
      <c r="B36" s="17" t="s">
        <v>31</v>
      </c>
      <c r="C36" s="11" t="s">
        <v>38</v>
      </c>
      <c r="D36" s="10">
        <v>300</v>
      </c>
      <c r="E36" s="10">
        <v>1</v>
      </c>
      <c r="F36" s="12">
        <v>183</v>
      </c>
      <c r="G36" s="10">
        <v>100</v>
      </c>
      <c r="H36" s="13">
        <f t="shared" si="0"/>
        <v>18.3</v>
      </c>
      <c r="I36" s="14">
        <f t="shared" si="2"/>
        <v>3.66</v>
      </c>
      <c r="J36" s="10">
        <v>2.06</v>
      </c>
      <c r="K36" s="10">
        <v>2.22</v>
      </c>
      <c r="L36" s="15">
        <v>9.066</v>
      </c>
      <c r="M36" s="16"/>
      <c r="N36" s="9"/>
      <c r="O36" s="9"/>
      <c r="P36" s="9"/>
      <c r="Q36" s="9"/>
      <c r="R36" s="9"/>
      <c r="S36" s="9"/>
      <c r="T36" s="9"/>
    </row>
    <row r="37" s="2" customFormat="1" ht="16.5" spans="1:20">
      <c r="A37" s="10" t="s">
        <v>32</v>
      </c>
      <c r="B37" s="17" t="s">
        <v>33</v>
      </c>
      <c r="C37" s="11" t="s">
        <v>38</v>
      </c>
      <c r="D37" s="10">
        <v>300</v>
      </c>
      <c r="E37" s="10">
        <v>1</v>
      </c>
      <c r="F37" s="12" t="s">
        <v>16</v>
      </c>
      <c r="G37" s="10" t="s">
        <v>16</v>
      </c>
      <c r="H37" s="13" t="e">
        <f t="shared" si="0"/>
        <v>#VALUE!</v>
      </c>
      <c r="I37" s="14" t="e">
        <f t="shared" si="2"/>
        <v>#VALUE!</v>
      </c>
      <c r="J37" s="10" t="s">
        <v>16</v>
      </c>
      <c r="K37" s="10" t="s">
        <v>16</v>
      </c>
      <c r="L37" s="10" t="s">
        <v>16</v>
      </c>
      <c r="M37" s="16" t="s">
        <v>39</v>
      </c>
      <c r="N37" s="9"/>
      <c r="O37" s="9"/>
      <c r="P37" s="9"/>
      <c r="Q37" s="9"/>
      <c r="R37" s="9"/>
      <c r="S37" s="9"/>
      <c r="T37" s="9"/>
    </row>
    <row r="38" s="2" customFormat="1" ht="16.5" spans="1:20">
      <c r="A38" s="10" t="s">
        <v>32</v>
      </c>
      <c r="B38" s="17" t="s">
        <v>34</v>
      </c>
      <c r="C38" s="11" t="s">
        <v>38</v>
      </c>
      <c r="D38" s="10">
        <v>300</v>
      </c>
      <c r="E38" s="10">
        <v>1</v>
      </c>
      <c r="F38" s="12">
        <v>2.16</v>
      </c>
      <c r="G38" s="10">
        <v>100</v>
      </c>
      <c r="H38" s="13">
        <f t="shared" si="0"/>
        <v>0.216</v>
      </c>
      <c r="I38" s="14">
        <f t="shared" si="2"/>
        <v>0.0432</v>
      </c>
      <c r="J38" s="10">
        <v>2.53</v>
      </c>
      <c r="K38" s="10">
        <v>1.48</v>
      </c>
      <c r="L38" s="10" t="s">
        <v>16</v>
      </c>
      <c r="M38" s="16"/>
      <c r="N38" s="9"/>
      <c r="O38" s="9"/>
      <c r="P38" s="9"/>
      <c r="Q38" s="9"/>
      <c r="R38" s="9"/>
      <c r="S38" s="9"/>
      <c r="T38" s="9"/>
    </row>
    <row r="39" s="2" customFormat="1" ht="16.5" spans="1:20">
      <c r="A39" s="10" t="s">
        <v>32</v>
      </c>
      <c r="B39" s="17" t="s">
        <v>35</v>
      </c>
      <c r="C39" s="11" t="s">
        <v>38</v>
      </c>
      <c r="D39" s="10">
        <v>300</v>
      </c>
      <c r="E39" s="10">
        <v>1</v>
      </c>
      <c r="F39" s="12" t="s">
        <v>40</v>
      </c>
      <c r="G39" s="10">
        <v>100</v>
      </c>
      <c r="H39" s="13" t="e">
        <f t="shared" si="0"/>
        <v>#VALUE!</v>
      </c>
      <c r="I39" s="14" t="e">
        <f t="shared" si="2"/>
        <v>#VALUE!</v>
      </c>
      <c r="J39" s="10">
        <v>2.91</v>
      </c>
      <c r="K39" s="10">
        <v>1.18</v>
      </c>
      <c r="L39" s="10" t="s">
        <v>16</v>
      </c>
      <c r="M39" s="16"/>
      <c r="N39" s="9"/>
      <c r="O39" s="9"/>
      <c r="P39" s="9"/>
      <c r="Q39" s="9"/>
      <c r="R39" s="9"/>
      <c r="S39" s="9"/>
      <c r="T39" s="9"/>
    </row>
    <row r="40" s="2" customFormat="1" ht="16.5" spans="1:20">
      <c r="A40" s="10" t="s">
        <v>32</v>
      </c>
      <c r="B40" s="17" t="s">
        <v>36</v>
      </c>
      <c r="C40" s="11" t="s">
        <v>38</v>
      </c>
      <c r="D40" s="10">
        <v>300</v>
      </c>
      <c r="E40" s="10">
        <v>1</v>
      </c>
      <c r="F40" s="12">
        <v>338</v>
      </c>
      <c r="G40" s="10">
        <v>100</v>
      </c>
      <c r="H40" s="13">
        <f t="shared" si="0"/>
        <v>33.8</v>
      </c>
      <c r="I40" s="14">
        <f t="shared" si="2"/>
        <v>6.76</v>
      </c>
      <c r="J40" s="10">
        <v>1.98</v>
      </c>
      <c r="K40" s="10">
        <v>2.03</v>
      </c>
      <c r="L40" s="15">
        <v>1.795</v>
      </c>
      <c r="M40" s="16"/>
      <c r="N40" s="9"/>
      <c r="O40" s="9"/>
      <c r="P40" s="9"/>
      <c r="Q40" s="9"/>
      <c r="R40" s="9"/>
      <c r="S40" s="9"/>
      <c r="T40" s="9"/>
    </row>
    <row r="41" s="2" customFormat="1" ht="16.5" spans="1:20">
      <c r="A41" s="10" t="s">
        <v>32</v>
      </c>
      <c r="B41" s="17" t="s">
        <v>37</v>
      </c>
      <c r="C41" s="11" t="s">
        <v>38</v>
      </c>
      <c r="D41" s="10">
        <v>300</v>
      </c>
      <c r="E41" s="10">
        <v>1</v>
      </c>
      <c r="F41" s="12">
        <v>41.4</v>
      </c>
      <c r="G41" s="10">
        <v>100</v>
      </c>
      <c r="H41" s="13">
        <f t="shared" si="0"/>
        <v>4.14</v>
      </c>
      <c r="I41" s="14">
        <f t="shared" si="2"/>
        <v>0.828</v>
      </c>
      <c r="J41" s="10">
        <v>2.13</v>
      </c>
      <c r="K41" s="10">
        <v>2.3</v>
      </c>
      <c r="L41" s="15">
        <v>10.747</v>
      </c>
      <c r="M41" s="16"/>
      <c r="N41" s="9"/>
      <c r="O41" s="9"/>
      <c r="P41" s="9"/>
      <c r="Q41" s="9"/>
      <c r="R41" s="9"/>
      <c r="S41" s="9"/>
      <c r="T41" s="9"/>
    </row>
  </sheetData>
  <conditionalFormatting sqref="H2:H41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{a5e4170c-c21d-4b24-9df0-75311ad55c23}</x14:id>
        </ext>
      </extLst>
    </cfRule>
  </conditionalFormatting>
  <pageMargins left="0.7" right="0.7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e4170c-c21d-4b24-9df0-75311ad55c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H2:H41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胡咏杰</cp:lastModifiedBy>
  <dcterms:created xsi:type="dcterms:W3CDTF">2023-05-12T11:15:00Z</dcterms:created>
  <dcterms:modified xsi:type="dcterms:W3CDTF">2026-03-20T01:05:13Z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7982A9DA8D8C42D9AAD0D943C251502F_12</vt:lpwstr>
  </property>
  <property fmtid="{D5CDD505-2E9C-101B-9397-08002B2CF9AE}" pid="4" name="CalculationRule">
    <vt:i4>0</vt:i4>
  </property>
</Properties>
</file>